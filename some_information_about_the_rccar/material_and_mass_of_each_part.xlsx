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keSelm\CAD\RC-Car2.1_Autodesk_Contest\Information_about_the_rccar\"/>
    </mc:Choice>
  </mc:AlternateContent>
  <xr:revisionPtr revIDLastSave="0" documentId="13_ncr:1_{496F1AC9-588C-4300-A3ED-FB29B4BC1800}" xr6:coauthVersionLast="47" xr6:coauthVersionMax="47" xr10:uidLastSave="{00000000-0000-0000-0000-000000000000}"/>
  <bookViews>
    <workbookView xWindow="-103" yWindow="-103" windowWidth="32177" windowHeight="18720" xr2:uid="{D6C851D6-B6E1-433B-B38C-43C33C8F5BD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3" i="1"/>
  <c r="C28" i="1"/>
  <c r="C7" i="1"/>
  <c r="B12" i="1"/>
  <c r="C33" i="1"/>
  <c r="B32" i="1"/>
  <c r="B31" i="1"/>
  <c r="B30" i="1"/>
  <c r="B27" i="1"/>
  <c r="B26" i="1"/>
  <c r="B25" i="1"/>
  <c r="B24" i="1"/>
  <c r="B23" i="1"/>
  <c r="B22" i="1"/>
  <c r="C21" i="1"/>
  <c r="C16" i="1" s="1"/>
  <c r="B20" i="1"/>
  <c r="B19" i="1"/>
  <c r="B18" i="1"/>
  <c r="B15" i="1"/>
  <c r="B14" i="1"/>
  <c r="B13" i="1"/>
  <c r="B11" i="1"/>
  <c r="B10" i="1"/>
  <c r="B9" i="1"/>
  <c r="C4" i="1" l="1"/>
</calcChain>
</file>

<file path=xl/sharedStrings.xml><?xml version="1.0" encoding="utf-8"?>
<sst xmlns="http://schemas.openxmlformats.org/spreadsheetml/2006/main" count="61" uniqueCount="35">
  <si>
    <t>PartName</t>
  </si>
  <si>
    <t>Material</t>
  </si>
  <si>
    <t>FrontEnd</t>
  </si>
  <si>
    <t>FrontBase</t>
  </si>
  <si>
    <t>FrontBaseSpacer</t>
  </si>
  <si>
    <t>Mass*partcount [g]</t>
  </si>
  <si>
    <t>RearBase</t>
  </si>
  <si>
    <t>RearEnd</t>
  </si>
  <si>
    <t>LowerWB</t>
  </si>
  <si>
    <t>UpperWb</t>
  </si>
  <si>
    <t>DifferentialShaftSupportBracket</t>
  </si>
  <si>
    <t>BottomTopRodConnection</t>
  </si>
  <si>
    <t>TopTopRodConnection</t>
  </si>
  <si>
    <t>MotorBracket</t>
  </si>
  <si>
    <t>LeftSteerLever</t>
  </si>
  <si>
    <t>RightSteerLever</t>
  </si>
  <si>
    <t>SteerLeverCuppler</t>
  </si>
  <si>
    <t>UpperWB</t>
  </si>
  <si>
    <t>BottomPlate</t>
  </si>
  <si>
    <t>MountingBrackets (Servo)</t>
  </si>
  <si>
    <t>BackPlate</t>
  </si>
  <si>
    <t>FrontPlate</t>
  </si>
  <si>
    <t>SUM (3Dprinted) =</t>
  </si>
  <si>
    <t>Mass [g] (one part)</t>
  </si>
  <si>
    <t>SUM (all 3Dprinted) =</t>
  </si>
  <si>
    <t>PLA (Material4Print)</t>
  </si>
  <si>
    <t>g</t>
  </si>
  <si>
    <t>ToughPLA (Material4Print)</t>
  </si>
  <si>
    <t>Table is for all 3D-printed parts and for aftermarket parts (as differential, motor, ESC, hub, …), …</t>
  </si>
  <si>
    <t xml:space="preserve"> … not including standard hardware (as bolts, nuts, bearings, inserts, washers, ...) or nescessary support material.</t>
  </si>
  <si>
    <t>FrontBumper</t>
  </si>
  <si>
    <t>Rims</t>
  </si>
  <si>
    <t>Sum (toughPLA) =</t>
  </si>
  <si>
    <t>Sum (PLA) =</t>
  </si>
  <si>
    <t>RC-Car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</si>
</sst>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3" borderId="1" xfId="0" applyFill="1" applyBorder="1"/>
    <xf numFmtId="0" fontId="0" fillId="2" borderId="3" xfId="0" applyFill="1" applyBorder="1"/>
    <xf numFmtId="0" fontId="0" fillId="2" borderId="4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2" xfId="0" applyFill="1" applyBorder="1"/>
    <xf numFmtId="0" fontId="1" fillId="2" borderId="6" xfId="0" applyFont="1" applyFill="1" applyBorder="1" applyAlignment="1">
      <alignment horizontal="right"/>
    </xf>
    <xf numFmtId="0" fontId="1" fillId="2" borderId="6" xfId="0" applyFont="1" applyFill="1" applyBorder="1"/>
    <xf numFmtId="0" fontId="1" fillId="2" borderId="7" xfId="0" applyFont="1" applyFill="1" applyBorder="1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1" fillId="2" borderId="9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2" borderId="5" xfId="0" applyFont="1" applyFill="1" applyBorder="1"/>
    <xf numFmtId="0" fontId="0" fillId="2" borderId="10" xfId="0" applyFill="1" applyBorder="1"/>
    <xf numFmtId="0" fontId="0" fillId="2" borderId="0" xfId="0" applyFill="1"/>
    <xf numFmtId="0" fontId="0" fillId="2" borderId="9" xfId="0" applyFill="1" applyBorder="1"/>
    <xf numFmtId="0" fontId="1" fillId="3" borderId="6" xfId="0" applyFont="1" applyFill="1" applyBorder="1" applyAlignment="1">
      <alignment horizontal="right"/>
    </xf>
    <xf numFmtId="0" fontId="0" fillId="3" borderId="10" xfId="0" applyFill="1" applyBorder="1"/>
    <xf numFmtId="0" fontId="0" fillId="3" borderId="0" xfId="0" applyFill="1"/>
    <xf numFmtId="0" fontId="0" fillId="3" borderId="9" xfId="0" applyFill="1" applyBorder="1"/>
    <xf numFmtId="0" fontId="0" fillId="3" borderId="2" xfId="0" applyFill="1" applyBorder="1"/>
    <xf numFmtId="0" fontId="0" fillId="3" borderId="3" xfId="0" applyFill="1" applyBorder="1"/>
    <xf numFmtId="0" fontId="2" fillId="0" borderId="0" xfId="0" applyFont="1"/>
    <xf numFmtId="0" fontId="2" fillId="4" borderId="0" xfId="0" applyFont="1" applyFill="1"/>
    <xf numFmtId="0" fontId="0" fillId="4" borderId="0" xfId="0" applyFill="1"/>
    <xf numFmtId="0" fontId="1" fillId="4" borderId="5" xfId="0" applyFont="1" applyFill="1" applyBorder="1" applyAlignment="1">
      <alignment horizontal="right"/>
    </xf>
    <xf numFmtId="0" fontId="0" fillId="4" borderId="4" xfId="0" applyFill="1" applyBorder="1"/>
    <xf numFmtId="0" fontId="1" fillId="4" borderId="8" xfId="0" applyFont="1" applyFill="1" applyBorder="1" applyAlignment="1">
      <alignment horizontal="right"/>
    </xf>
    <xf numFmtId="0" fontId="1" fillId="4" borderId="1" xfId="0" applyFont="1" applyFill="1" applyBorder="1"/>
    <xf numFmtId="0" fontId="3" fillId="4" borderId="2" xfId="0" applyFont="1" applyFill="1" applyBorder="1"/>
    <xf numFmtId="0" fontId="4" fillId="4" borderId="6" xfId="0" applyFont="1" applyFill="1" applyBorder="1"/>
    <xf numFmtId="0" fontId="5" fillId="4" borderId="7" xfId="0" applyFont="1" applyFill="1" applyBorder="1"/>
    <xf numFmtId="0" fontId="1" fillId="3" borderId="1" xfId="0" applyFont="1" applyFill="1" applyBorder="1"/>
    <xf numFmtId="0" fontId="1" fillId="0" borderId="0" xfId="0" applyFont="1" applyFill="1" applyBorder="1"/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F5D8-CC2B-4DE3-A981-FA8674E7B309}">
  <sheetPr>
    <pageSetUpPr fitToPage="1"/>
  </sheetPr>
  <dimension ref="A1:I38"/>
  <sheetViews>
    <sheetView tabSelected="1" zoomScale="85" zoomScaleNormal="85" workbookViewId="0">
      <selection activeCell="C5" sqref="C5"/>
    </sheetView>
  </sheetViews>
  <sheetFormatPr baseColWidth="10" defaultRowHeight="14.6" x14ac:dyDescent="0.4"/>
  <cols>
    <col min="1" max="1" width="26.765625" customWidth="1"/>
    <col min="2" max="2" width="18.84375" customWidth="1"/>
    <col min="3" max="3" width="18.61328125" customWidth="1"/>
    <col min="4" max="4" width="25.84375" customWidth="1"/>
  </cols>
  <sheetData>
    <row r="1" spans="1:9" ht="18.45" x14ac:dyDescent="0.5">
      <c r="A1" s="27" t="s">
        <v>28</v>
      </c>
      <c r="B1" s="27"/>
      <c r="C1" s="27"/>
      <c r="D1" s="27"/>
      <c r="E1" s="27"/>
      <c r="F1" s="27"/>
      <c r="G1" s="27"/>
      <c r="H1" s="26"/>
      <c r="I1" s="26"/>
    </row>
    <row r="2" spans="1:9" ht="18.45" x14ac:dyDescent="0.5">
      <c r="A2" s="27" t="s">
        <v>29</v>
      </c>
      <c r="B2" s="28"/>
      <c r="C2" s="28"/>
      <c r="D2" s="28"/>
      <c r="E2" s="28"/>
      <c r="F2" s="28"/>
      <c r="G2" s="28"/>
    </row>
    <row r="3" spans="1:9" ht="26.15" x14ac:dyDescent="0.7">
      <c r="A3" s="33" t="s">
        <v>34</v>
      </c>
      <c r="B3" s="29" t="s">
        <v>24</v>
      </c>
      <c r="C3" s="34">
        <f>SUM(C7,C16,C28,C32,C33)</f>
        <v>814.79000000000008</v>
      </c>
      <c r="D3" s="35" t="s">
        <v>26</v>
      </c>
    </row>
    <row r="4" spans="1:9" ht="23.6" x14ac:dyDescent="0.65">
      <c r="A4" s="30"/>
      <c r="B4" s="31" t="s">
        <v>33</v>
      </c>
      <c r="C4" s="34">
        <f>SUM(C3-C5)</f>
        <v>473.78000000000009</v>
      </c>
      <c r="D4" s="35" t="s">
        <v>26</v>
      </c>
    </row>
    <row r="5" spans="1:9" ht="23.6" x14ac:dyDescent="0.65">
      <c r="A5" s="30"/>
      <c r="B5" s="31" t="s">
        <v>32</v>
      </c>
      <c r="C5" s="34">
        <f>SUM(C11,C10,C32,C33)</f>
        <v>341.01</v>
      </c>
      <c r="D5" s="35" t="s">
        <v>26</v>
      </c>
    </row>
    <row r="6" spans="1:9" x14ac:dyDescent="0.4">
      <c r="A6" s="32" t="s">
        <v>0</v>
      </c>
      <c r="B6" s="32" t="s">
        <v>23</v>
      </c>
      <c r="C6" s="32" t="s">
        <v>5</v>
      </c>
      <c r="D6" s="32" t="s">
        <v>1</v>
      </c>
    </row>
    <row r="7" spans="1:9" x14ac:dyDescent="0.4">
      <c r="A7" s="4" t="s">
        <v>7</v>
      </c>
      <c r="B7" s="7" t="s">
        <v>22</v>
      </c>
      <c r="C7" s="8">
        <f>SUM(C9,C10,C11,C12,C13,C14,C15)</f>
        <v>212.31</v>
      </c>
      <c r="D7" s="9"/>
    </row>
    <row r="8" spans="1:9" x14ac:dyDescent="0.4">
      <c r="A8" s="5"/>
      <c r="B8" s="10"/>
      <c r="C8" s="11"/>
      <c r="D8" s="12"/>
    </row>
    <row r="9" spans="1:9" x14ac:dyDescent="0.4">
      <c r="A9" s="6" t="s">
        <v>6</v>
      </c>
      <c r="B9" s="6">
        <f>C9</f>
        <v>94.41</v>
      </c>
      <c r="C9" s="6">
        <v>94.41</v>
      </c>
      <c r="D9" s="6" t="s">
        <v>27</v>
      </c>
    </row>
    <row r="10" spans="1:9" x14ac:dyDescent="0.4">
      <c r="A10" s="2" t="s">
        <v>8</v>
      </c>
      <c r="B10" s="2">
        <f t="shared" ref="B10:B11" si="0">C10/2</f>
        <v>34.78</v>
      </c>
      <c r="C10" s="2">
        <v>69.56</v>
      </c>
      <c r="D10" s="2" t="s">
        <v>27</v>
      </c>
    </row>
    <row r="11" spans="1:9" x14ac:dyDescent="0.4">
      <c r="A11" s="2" t="s">
        <v>9</v>
      </c>
      <c r="B11" s="2">
        <f t="shared" si="0"/>
        <v>4.9349999999999996</v>
      </c>
      <c r="C11" s="2">
        <v>9.8699999999999992</v>
      </c>
      <c r="D11" s="2" t="s">
        <v>27</v>
      </c>
    </row>
    <row r="12" spans="1:9" x14ac:dyDescent="0.4">
      <c r="A12" s="2" t="s">
        <v>10</v>
      </c>
      <c r="B12" s="2">
        <f>C12</f>
        <v>7.02</v>
      </c>
      <c r="C12" s="2">
        <v>7.02</v>
      </c>
      <c r="D12" s="2" t="s">
        <v>25</v>
      </c>
    </row>
    <row r="13" spans="1:9" x14ac:dyDescent="0.4">
      <c r="A13" s="2" t="s">
        <v>11</v>
      </c>
      <c r="B13" s="2">
        <f>C13</f>
        <v>5.72</v>
      </c>
      <c r="C13" s="2">
        <v>5.72</v>
      </c>
      <c r="D13" s="2" t="s">
        <v>25</v>
      </c>
    </row>
    <row r="14" spans="1:9" x14ac:dyDescent="0.4">
      <c r="A14" s="2" t="s">
        <v>12</v>
      </c>
      <c r="B14" s="2">
        <f>C14</f>
        <v>5.72</v>
      </c>
      <c r="C14" s="2">
        <v>5.72</v>
      </c>
      <c r="D14" s="2" t="s">
        <v>25</v>
      </c>
    </row>
    <row r="15" spans="1:9" x14ac:dyDescent="0.4">
      <c r="A15" s="2" t="s">
        <v>13</v>
      </c>
      <c r="B15" s="2">
        <f>C15</f>
        <v>20.010000000000002</v>
      </c>
      <c r="C15" s="2">
        <v>20.010000000000002</v>
      </c>
      <c r="D15" s="2" t="s">
        <v>27</v>
      </c>
    </row>
    <row r="16" spans="1:9" x14ac:dyDescent="0.4">
      <c r="A16" s="16" t="s">
        <v>2</v>
      </c>
      <c r="B16" s="7" t="s">
        <v>22</v>
      </c>
      <c r="C16" s="8">
        <f>SUM(C18,C19,C20,C21,C22,C23,C24,C25,C26,C27)</f>
        <v>153.30000000000001</v>
      </c>
      <c r="D16" s="9"/>
    </row>
    <row r="17" spans="1:4" x14ac:dyDescent="0.4">
      <c r="A17" s="17"/>
      <c r="B17" s="18"/>
      <c r="C17" s="18"/>
      <c r="D17" s="19"/>
    </row>
    <row r="18" spans="1:4" x14ac:dyDescent="0.4">
      <c r="A18" s="6" t="s">
        <v>14</v>
      </c>
      <c r="B18" s="6">
        <f>C18</f>
        <v>5.13</v>
      </c>
      <c r="C18" s="6">
        <v>5.13</v>
      </c>
      <c r="D18" s="6" t="s">
        <v>25</v>
      </c>
    </row>
    <row r="19" spans="1:4" x14ac:dyDescent="0.4">
      <c r="A19" s="2" t="s">
        <v>15</v>
      </c>
      <c r="B19" s="2">
        <f>C19</f>
        <v>6.51</v>
      </c>
      <c r="C19" s="2">
        <v>6.51</v>
      </c>
      <c r="D19" s="2" t="s">
        <v>25</v>
      </c>
    </row>
    <row r="20" spans="1:4" x14ac:dyDescent="0.4">
      <c r="A20" s="2" t="s">
        <v>16</v>
      </c>
      <c r="B20" s="2">
        <f>C20</f>
        <v>1.71</v>
      </c>
      <c r="C20" s="2">
        <v>1.71</v>
      </c>
      <c r="D20" s="2" t="s">
        <v>25</v>
      </c>
    </row>
    <row r="21" spans="1:4" x14ac:dyDescent="0.4">
      <c r="A21" s="2" t="s">
        <v>3</v>
      </c>
      <c r="B21" s="2">
        <v>52.47</v>
      </c>
      <c r="C21" s="2">
        <f>B21</f>
        <v>52.47</v>
      </c>
      <c r="D21" s="2" t="s">
        <v>25</v>
      </c>
    </row>
    <row r="22" spans="1:4" x14ac:dyDescent="0.4">
      <c r="A22" s="2" t="s">
        <v>4</v>
      </c>
      <c r="B22" s="2">
        <f>C22/4</f>
        <v>0.40250000000000002</v>
      </c>
      <c r="C22" s="2">
        <v>1.61</v>
      </c>
      <c r="D22" s="2" t="s">
        <v>25</v>
      </c>
    </row>
    <row r="23" spans="1:4" x14ac:dyDescent="0.4">
      <c r="A23" s="2" t="s">
        <v>11</v>
      </c>
      <c r="B23" s="2">
        <f>C23</f>
        <v>17.850000000000001</v>
      </c>
      <c r="C23" s="2">
        <v>17.850000000000001</v>
      </c>
      <c r="D23" s="2" t="s">
        <v>25</v>
      </c>
    </row>
    <row r="24" spans="1:4" x14ac:dyDescent="0.4">
      <c r="A24" s="2" t="s">
        <v>12</v>
      </c>
      <c r="B24" s="2">
        <f>C24</f>
        <v>23.92</v>
      </c>
      <c r="C24" s="2">
        <v>23.92</v>
      </c>
      <c r="D24" s="2" t="s">
        <v>25</v>
      </c>
    </row>
    <row r="25" spans="1:4" x14ac:dyDescent="0.4">
      <c r="A25" s="2" t="s">
        <v>8</v>
      </c>
      <c r="B25" s="2">
        <f>C25/2</f>
        <v>10.54</v>
      </c>
      <c r="C25" s="2">
        <v>21.08</v>
      </c>
      <c r="D25" s="2" t="s">
        <v>25</v>
      </c>
    </row>
    <row r="26" spans="1:4" x14ac:dyDescent="0.4">
      <c r="A26" s="2" t="s">
        <v>17</v>
      </c>
      <c r="B26" s="2">
        <f>C26/2</f>
        <v>8.2799999999999994</v>
      </c>
      <c r="C26" s="2">
        <v>16.559999999999999</v>
      </c>
      <c r="D26" s="2" t="s">
        <v>25</v>
      </c>
    </row>
    <row r="27" spans="1:4" x14ac:dyDescent="0.4">
      <c r="A27" s="3" t="s">
        <v>19</v>
      </c>
      <c r="B27" s="3">
        <f>C27/2</f>
        <v>3.23</v>
      </c>
      <c r="C27" s="3">
        <v>6.46</v>
      </c>
      <c r="D27" s="3" t="s">
        <v>25</v>
      </c>
    </row>
    <row r="28" spans="1:4" x14ac:dyDescent="0.4">
      <c r="A28" s="13" t="s">
        <v>18</v>
      </c>
      <c r="B28" s="20" t="s">
        <v>22</v>
      </c>
      <c r="C28" s="14">
        <f>SUM(C30,C31)</f>
        <v>187.6</v>
      </c>
      <c r="D28" s="15"/>
    </row>
    <row r="29" spans="1:4" x14ac:dyDescent="0.4">
      <c r="A29" s="21"/>
      <c r="B29" s="22"/>
      <c r="C29" s="22"/>
      <c r="D29" s="23"/>
    </row>
    <row r="30" spans="1:4" x14ac:dyDescent="0.4">
      <c r="A30" s="24" t="s">
        <v>20</v>
      </c>
      <c r="B30" s="24">
        <f>C30</f>
        <v>99.64</v>
      </c>
      <c r="C30" s="24">
        <v>99.64</v>
      </c>
      <c r="D30" s="24" t="s">
        <v>25</v>
      </c>
    </row>
    <row r="31" spans="1:4" x14ac:dyDescent="0.4">
      <c r="A31" s="25" t="s">
        <v>21</v>
      </c>
      <c r="B31" s="25">
        <f>C31</f>
        <v>87.96</v>
      </c>
      <c r="C31" s="25">
        <v>87.96</v>
      </c>
      <c r="D31" s="25" t="s">
        <v>25</v>
      </c>
    </row>
    <row r="32" spans="1:4" x14ac:dyDescent="0.4">
      <c r="A32" s="4" t="s">
        <v>30</v>
      </c>
      <c r="B32" s="6">
        <f>C32</f>
        <v>108.34</v>
      </c>
      <c r="C32" s="6">
        <v>108.34</v>
      </c>
      <c r="D32" s="6" t="s">
        <v>27</v>
      </c>
    </row>
    <row r="33" spans="1:4" x14ac:dyDescent="0.4">
      <c r="A33" s="36" t="s">
        <v>31</v>
      </c>
      <c r="B33" s="1">
        <v>38.31</v>
      </c>
      <c r="C33" s="1">
        <f>B33*4</f>
        <v>153.24</v>
      </c>
      <c r="D33" s="1" t="s">
        <v>27</v>
      </c>
    </row>
    <row r="34" spans="1:4" x14ac:dyDescent="0.4">
      <c r="A34" s="37"/>
      <c r="B34" s="37"/>
      <c r="C34" s="37"/>
      <c r="D34" s="37"/>
    </row>
    <row r="35" spans="1:4" x14ac:dyDescent="0.4">
      <c r="A35" s="38"/>
      <c r="B35" s="38"/>
      <c r="C35" s="38"/>
      <c r="D35" s="38"/>
    </row>
    <row r="36" spans="1:4" x14ac:dyDescent="0.4">
      <c r="A36" s="38"/>
      <c r="B36" s="38"/>
      <c r="C36" s="38"/>
      <c r="D36" s="38"/>
    </row>
    <row r="37" spans="1:4" x14ac:dyDescent="0.4">
      <c r="A37" s="38"/>
      <c r="B37" s="38"/>
      <c r="C37" s="38"/>
      <c r="D37" s="38"/>
    </row>
    <row r="38" spans="1:4" x14ac:dyDescent="0.4">
      <c r="A38" s="38"/>
      <c r="B38" s="38"/>
      <c r="C38" s="38"/>
      <c r="D38" s="38"/>
    </row>
  </sheetData>
  <pageMargins left="0.7" right="0.7" top="0.78740157499999996" bottom="0.78740157499999996" header="0.3" footer="0.3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j7_3zw4jst@goetheuniversitaet.onmicrosoft.com</dc:creator>
  <cp:lastModifiedBy>j7_3zw4jst@goetheuniversitaet.onmicrosoft.com</cp:lastModifiedBy>
  <cp:lastPrinted>2025-01-12T15:47:53Z</cp:lastPrinted>
  <dcterms:created xsi:type="dcterms:W3CDTF">2024-12-17T12:25:06Z</dcterms:created>
  <dcterms:modified xsi:type="dcterms:W3CDTF">2025-01-12T16:24:03Z</dcterms:modified>
</cp:coreProperties>
</file>